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medeloitte-my.sharepoint.com/personal/kalkanti_deloitte_com/Documents/Documents/20_PROD_MONTHLY_SUPPORT/Performance Metrics/202607/"/>
    </mc:Choice>
  </mc:AlternateContent>
  <xr:revisionPtr revIDLastSave="2" documentId="13_ncr:1_{B9660E36-2786-4C2C-BF36-3CBFBACFAD99}" xr6:coauthVersionLast="47" xr6:coauthVersionMax="47" xr10:uidLastSave="{D4EF8AE7-4973-4C4E-B7FA-006E8A33DAF4}"/>
  <bookViews>
    <workbookView xWindow="-110" yWindow="-110" windowWidth="19420" windowHeight="10300" xr2:uid="{00000000-000D-0000-FFFF-FFFF00000000}"/>
  </bookViews>
  <sheets>
    <sheet name="Menu" sheetId="1" r:id="rId1"/>
  </sheets>
  <definedNames>
    <definedName name="_xlnm._FilterDatabase" localSheetId="0" hidden="1">Menu!$A$1:$P$4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1" l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3" i="1"/>
  <c r="R2" i="1"/>
</calcChain>
</file>

<file path=xl/sharedStrings.xml><?xml version="1.0" encoding="utf-8"?>
<sst xmlns="http://schemas.openxmlformats.org/spreadsheetml/2006/main" count="194" uniqueCount="92">
  <si>
    <t>Sub_Menu</t>
  </si>
  <si>
    <t>Report_ID</t>
  </si>
  <si>
    <t>HIAEAE105 Member Enrollment by Benefit Program Report</t>
  </si>
  <si>
    <t>HIAFIN039</t>
  </si>
  <si>
    <t>Provider Analytics</t>
  </si>
  <si>
    <t>Explore</t>
  </si>
  <si>
    <t>HIAEAE002 Monthly Statistical Report On Medical Care</t>
  </si>
  <si>
    <t>Sub2_Menu</t>
  </si>
  <si>
    <t>Locator_Sub3</t>
  </si>
  <si>
    <t>HIAFIN013 Financial Summary</t>
  </si>
  <si>
    <t>HIAFIN034 Eligibles Of Medical Care By Age, Race/Ethnicity And Gender Report</t>
  </si>
  <si>
    <t>Enrollment Detail</t>
  </si>
  <si>
    <t>Locator_Sub</t>
  </si>
  <si>
    <t>Threshold</t>
  </si>
  <si>
    <t>View All &amp; Manage</t>
  </si>
  <si>
    <t>HIACMS001 National Health Expenditure Account (NHEA) Report</t>
  </si>
  <si>
    <t>HIAEAE003 Member Eligibility</t>
  </si>
  <si>
    <t>HIAEAE105 Member Enrollment</t>
  </si>
  <si>
    <t>HIAFIN001 Pharmacy NDC</t>
  </si>
  <si>
    <t>HIAFIN103 Medicare Participation Analysis Report</t>
  </si>
  <si>
    <t>HIAPRV008 Provider Participati</t>
  </si>
  <si>
    <t>//DIV[@id="container-summary"]/DIV[@role="grid"][1]</t>
  </si>
  <si>
    <t>Medium Complexity - Summary</t>
  </si>
  <si>
    <t>HIAFIN014</t>
  </si>
  <si>
    <t>HIAFIN025 Long Term Care</t>
  </si>
  <si>
    <t>HIAFIN025</t>
  </si>
  <si>
    <t>HIAFIN103 Medicare Participati</t>
  </si>
  <si>
    <t>HIAOPS020 Waiver Counts Report</t>
  </si>
  <si>
    <t>Medicaid Management Dashboard</t>
  </si>
  <si>
    <t>Claim Line Summary</t>
  </si>
  <si>
    <t>Summary Report</t>
  </si>
  <si>
    <t>HIAFIN014 Financial Summary</t>
  </si>
  <si>
    <t>Report_Type</t>
  </si>
  <si>
    <t>Main_Menu</t>
  </si>
  <si>
    <t>Locator_Sub4</t>
  </si>
  <si>
    <t>Favorites</t>
  </si>
  <si>
    <t>report-table-container</t>
  </si>
  <si>
    <t>HIAEAE003 Member Eligibility Category Forecast Report</t>
  </si>
  <si>
    <t>Plan</t>
  </si>
  <si>
    <t>HIAPRV008 Provider Participation Analysis Report</t>
  </si>
  <si>
    <t>Detail Report</t>
  </si>
  <si>
    <t>HIAEAE002 Monthly Statistical</t>
  </si>
  <si>
    <t>HIAEAE002</t>
  </si>
  <si>
    <t>HIAEAE031</t>
  </si>
  <si>
    <t>Report_Name</t>
  </si>
  <si>
    <t>Operations</t>
  </si>
  <si>
    <t>HIAOPS020</t>
  </si>
  <si>
    <t>HIAPRV008</t>
  </si>
  <si>
    <t>Report_Row_Count</t>
  </si>
  <si>
    <t>HIACMS001</t>
  </si>
  <si>
    <t>Member</t>
  </si>
  <si>
    <t>HIAFIN013 Financial Summary By Category Of Service (MRS 735-1) Report</t>
  </si>
  <si>
    <t>Report_Start_Time</t>
  </si>
  <si>
    <t>Report_Data_Locator_1</t>
  </si>
  <si>
    <t>Very High Complexity - Summary</t>
  </si>
  <si>
    <t>Standard Report</t>
  </si>
  <si>
    <t>HIACMS001 National Health</t>
  </si>
  <si>
    <t>HIAEAE003</t>
  </si>
  <si>
    <t>HIAEAE105</t>
  </si>
  <si>
    <t>Standard Reports</t>
  </si>
  <si>
    <t>HIAFIN039 FFS - TPL Cost Avoidance And Recovery Monthly Report</t>
  </si>
  <si>
    <t>High Complexity - Summary</t>
  </si>
  <si>
    <t>HIAFIN001</t>
  </si>
  <si>
    <t>HIAFIN034 Eligibles Of</t>
  </si>
  <si>
    <t>HIAFIN034</t>
  </si>
  <si>
    <t>HIAFIN039 FFS - TPL Cost</t>
  </si>
  <si>
    <t>HIAFIN103</t>
  </si>
  <si>
    <t>HIAFIN107 FFS - TPL Cost</t>
  </si>
  <si>
    <t>HIAFIN107</t>
  </si>
  <si>
    <t>Financial</t>
  </si>
  <si>
    <t>CMS 416</t>
  </si>
  <si>
    <t>HIAFIN107 FFS - TPL Cost Avoidance And Recovery Quarterly Report</t>
  </si>
  <si>
    <t>Locator_Sub2</t>
  </si>
  <si>
    <t>Report_End_Time</t>
  </si>
  <si>
    <t>CMS</t>
  </si>
  <si>
    <t>HIAFIN025 Long Term Care Insurance Cost Avoidance Report</t>
  </si>
  <si>
    <t>HIAOPS020 Waiver Counts</t>
  </si>
  <si>
    <t>Sub3_Menu</t>
  </si>
  <si>
    <t>Report_Data_Locator_2</t>
  </si>
  <si>
    <t>HIAFIN014 Financial Summary By Category Of Service (MRS 735-2) Report</t>
  </si>
  <si>
    <t>HIAEAE031 Recipients By Category Report</t>
  </si>
  <si>
    <t>N/A</t>
  </si>
  <si>
    <t>Locator_Main</t>
  </si>
  <si>
    <t>Report_Load_Time</t>
  </si>
  <si>
    <t>HIAFIN001 Pharmacy NDC By Labeler Utilization Report</t>
  </si>
  <si>
    <t>MRS Reports</t>
  </si>
  <si>
    <t>HIAFIN013</t>
  </si>
  <si>
    <t>Dashboard</t>
  </si>
  <si>
    <t>View All &amp; Manage...</t>
  </si>
  <si>
    <t>HIAEAE031 Recipients By</t>
  </si>
  <si>
    <t>Claim lines Summary Report</t>
  </si>
  <si>
    <t>Enrollment Detail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</si>
</sst>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4">
    <font>
      <sz val="10"/>
      <name val="Mic Shell Dlg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Mic Shell Dlg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0">
    <xf numFmtId="0" fontId="0" fillId="0" borderId="0" xfId="0"/>
    <xf numFmtId="0" fontId="1" fillId="0" borderId="1" xfId="1" applyBorder="1" applyProtection="1">
      <protection locked="0"/>
    </xf>
    <xf numFmtId="0" fontId="1" fillId="2" borderId="1" xfId="1" applyFill="1" applyBorder="1" applyProtection="1">
      <protection locked="0"/>
    </xf>
    <xf numFmtId="0" fontId="2" fillId="0" borderId="1" xfId="0" applyFont="1" applyBorder="1" applyProtection="1">
      <protection locked="0"/>
    </xf>
    <xf numFmtId="22" fontId="1" fillId="0" borderId="1" xfId="1" applyNumberFormat="1" applyBorder="1" applyProtection="1">
      <protection locked="0"/>
    </xf>
    <xf numFmtId="3" fontId="1" fillId="0" borderId="1" xfId="1" applyNumberFormat="1" applyBorder="1" applyProtection="1">
      <protection locked="0"/>
    </xf>
    <xf numFmtId="0" fontId="3" fillId="0" borderId="2" xfId="2" applyBorder="1" applyProtection="1">
      <protection locked="0"/>
    </xf>
    <xf numFmtId="0" fontId="1" fillId="0" borderId="0" xfId="1" applyProtection="1">
      <protection locked="0"/>
    </xf>
    <xf numFmtId="164" fontId="1" fillId="0" borderId="1" xfId="1" applyNumberFormat="1" applyBorder="1" applyProtection="1">
      <protection locked="0"/>
    </xf>
    <xf numFmtId="0" fontId="2" fillId="0" borderId="0" xfId="0" applyFont="1" applyProtection="1">
      <protection locked="0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"/>
  <sheetViews>
    <sheetView tabSelected="1" topLeftCell="M10" zoomScale="110" workbookViewId="0">
      <selection activeCell="A19" sqref="A19:XFD19"/>
    </sheetView>
  </sheetViews>
  <sheetFormatPr defaultColWidth="9.1796875" defaultRowHeight="14.5"/>
  <cols>
    <col min="1" max="1" width="67.7265625" style="9" customWidth="1"/>
    <col min="2" max="2" width="48.54296875" style="9" customWidth="1"/>
    <col min="3" max="4" width="16.1796875" style="9" bestFit="1" customWidth="1"/>
    <col min="5" max="6" width="14.81640625" style="9" bestFit="1" customWidth="1"/>
    <col min="7" max="7" width="15.81640625" style="7" customWidth="1"/>
    <col min="8" max="8" width="50" style="7" bestFit="1" customWidth="1"/>
    <col min="9" max="9" width="70.7265625" style="7" bestFit="1" customWidth="1"/>
    <col min="10" max="11" width="16.7265625" style="7" bestFit="1" customWidth="1"/>
    <col min="12" max="12" width="45.1796875" style="7" bestFit="1" customWidth="1"/>
    <col min="13" max="13" width="26.453125" style="7" bestFit="1" customWidth="1"/>
    <col min="14" max="14" width="16.453125" style="7" bestFit="1" customWidth="1"/>
    <col min="15" max="15" width="22.54296875" style="7" bestFit="1" customWidth="1"/>
    <col min="16" max="16" width="22" style="7" bestFit="1" customWidth="1"/>
    <col min="17" max="17" width="20.54296875" style="7" bestFit="1" customWidth="1"/>
    <col min="18" max="18" width="22" style="7" bestFit="1" customWidth="1"/>
    <col min="19" max="19" width="10.7265625" style="7" bestFit="1" customWidth="1"/>
    <col min="20" max="20" width="9.1796875" style="7" customWidth="1"/>
    <col min="21" max="16384" width="9.1796875" style="7"/>
  </cols>
  <sheetData>
    <row r="1" spans="1:19" customFormat="1" ht="12.5">
      <c r="A1" t="s">
        <v>44</v>
      </c>
      <c r="B1" t="s">
        <v>32</v>
      </c>
      <c r="C1" t="s">
        <v>33</v>
      </c>
      <c r="D1" t="s">
        <v>0</v>
      </c>
      <c r="E1" t="s">
        <v>7</v>
      </c>
      <c r="F1" t="s">
        <v>77</v>
      </c>
      <c r="G1" t="s">
        <v>82</v>
      </c>
      <c r="H1" t="s">
        <v>12</v>
      </c>
      <c r="I1" t="s">
        <v>72</v>
      </c>
      <c r="J1" t="s">
        <v>8</v>
      </c>
      <c r="K1" t="s">
        <v>34</v>
      </c>
      <c r="L1" t="s">
        <v>53</v>
      </c>
      <c r="M1" t="s">
        <v>78</v>
      </c>
      <c r="N1" t="s">
        <v>1</v>
      </c>
      <c r="O1" t="s">
        <v>48</v>
      </c>
      <c r="P1" t="s">
        <v>52</v>
      </c>
      <c r="Q1" t="s">
        <v>73</v>
      </c>
      <c r="R1" t="s">
        <v>83</v>
      </c>
      <c r="S1" t="s">
        <v>13</v>
      </c>
    </row>
    <row r="2" spans="1:19">
      <c r="A2" s="2" t="s">
        <v>54</v>
      </c>
      <c r="B2" s="2" t="s">
        <v>30</v>
      </c>
      <c r="C2" s="2" t="s">
        <v>35</v>
      </c>
      <c r="D2" s="2" t="s">
        <v>14</v>
      </c>
      <c r="E2" s="2"/>
      <c r="F2" s="3"/>
      <c r="G2" s="2" t="s">
        <v>35</v>
      </c>
      <c r="H2" s="1" t="s">
        <v>88</v>
      </c>
      <c r="I2" s="2" t="s">
        <v>54</v>
      </c>
      <c r="J2" s="1"/>
      <c r="K2" s="1"/>
      <c r="L2" s="1" t="s">
        <v>21</v>
      </c>
      <c r="M2" s="1" t="s">
        <v>36</v>
      </c>
      <c r="N2" s="1"/>
      <c r="O2" s="5">
        <v>2016693</v>
      </c>
      <c r="P2" s="4">
        <v>46181.48333333333</v>
      </c>
      <c r="Q2" s="4">
        <v>46181.483391203707</v>
      </c>
      <c r="R2" s="8">
        <f t="shared" ref="R2:R23" si="0">(Q2-P2)</f>
        <v>5.787037662230432E-5</v>
      </c>
      <c r="S2" s="6">
        <v>90</v>
      </c>
    </row>
    <row r="3" spans="1:19">
      <c r="A3" s="2" t="s">
        <v>61</v>
      </c>
      <c r="B3" s="2" t="s">
        <v>30</v>
      </c>
      <c r="C3" s="2" t="s">
        <v>35</v>
      </c>
      <c r="D3" s="2" t="s">
        <v>14</v>
      </c>
      <c r="E3" s="2"/>
      <c r="F3" s="3"/>
      <c r="G3" s="2" t="s">
        <v>35</v>
      </c>
      <c r="H3" s="1" t="s">
        <v>88</v>
      </c>
      <c r="I3" s="2" t="s">
        <v>61</v>
      </c>
      <c r="J3" s="1"/>
      <c r="K3" s="1"/>
      <c r="L3" s="1" t="s">
        <v>21</v>
      </c>
      <c r="M3" s="1" t="s">
        <v>36</v>
      </c>
      <c r="N3" s="1"/>
      <c r="O3" s="5">
        <v>2109392</v>
      </c>
      <c r="P3" s="4">
        <v>46181.486805555556</v>
      </c>
      <c r="Q3" s="4">
        <v>46181.487303240741</v>
      </c>
      <c r="R3" s="8">
        <f t="shared" si="0"/>
        <v>4.9768518510973081E-4</v>
      </c>
      <c r="S3" s="6">
        <v>45</v>
      </c>
    </row>
    <row r="4" spans="1:19">
      <c r="A4" s="2" t="s">
        <v>22</v>
      </c>
      <c r="B4" s="2" t="s">
        <v>30</v>
      </c>
      <c r="C4" s="2" t="s">
        <v>35</v>
      </c>
      <c r="D4" s="2" t="s">
        <v>14</v>
      </c>
      <c r="E4" s="2"/>
      <c r="F4" s="3"/>
      <c r="G4" s="2" t="s">
        <v>35</v>
      </c>
      <c r="H4" s="1" t="s">
        <v>88</v>
      </c>
      <c r="I4" s="2" t="s">
        <v>22</v>
      </c>
      <c r="J4" s="1"/>
      <c r="K4" s="1"/>
      <c r="L4" s="1" t="s">
        <v>21</v>
      </c>
      <c r="M4" s="1" t="s">
        <v>36</v>
      </c>
      <c r="N4" s="1"/>
      <c r="O4" s="5">
        <v>2110913</v>
      </c>
      <c r="P4" s="4">
        <v>46181.488888888889</v>
      </c>
      <c r="Q4" s="4">
        <v>46181.489340277774</v>
      </c>
      <c r="R4" s="8">
        <f>(Q4-P4)</f>
        <v>4.5138888526707888E-4</v>
      </c>
      <c r="S4" s="6">
        <v>30</v>
      </c>
    </row>
    <row r="5" spans="1:19">
      <c r="A5" s="1" t="s">
        <v>15</v>
      </c>
      <c r="B5" s="1" t="s">
        <v>55</v>
      </c>
      <c r="C5" s="1" t="s">
        <v>69</v>
      </c>
      <c r="D5" s="1" t="s">
        <v>74</v>
      </c>
      <c r="E5" s="3"/>
      <c r="F5" s="3"/>
      <c r="G5" s="1" t="s">
        <v>69</v>
      </c>
      <c r="H5" s="1" t="s">
        <v>74</v>
      </c>
      <c r="I5" s="1" t="s">
        <v>56</v>
      </c>
      <c r="J5" s="1"/>
      <c r="K5" s="1"/>
      <c r="L5" s="1"/>
      <c r="M5" s="1"/>
      <c r="N5" s="1" t="s">
        <v>49</v>
      </c>
      <c r="O5" s="1" t="s">
        <v>81</v>
      </c>
      <c r="P5" s="4">
        <v>46181.490972222222</v>
      </c>
      <c r="Q5" s="4">
        <v>46181.49113425926</v>
      </c>
      <c r="R5" s="8">
        <f>(Q5-P5)</f>
        <v>1.6203703853534535E-4</v>
      </c>
      <c r="S5" s="6">
        <v>120</v>
      </c>
    </row>
    <row r="6" spans="1:19" ht="14" customHeight="1">
      <c r="A6" s="1" t="s">
        <v>70</v>
      </c>
      <c r="B6" s="1" t="s">
        <v>55</v>
      </c>
      <c r="C6" s="1" t="s">
        <v>69</v>
      </c>
      <c r="D6" s="1" t="s">
        <v>74</v>
      </c>
      <c r="E6" s="3"/>
      <c r="F6" s="3"/>
      <c r="G6" s="1" t="s">
        <v>69</v>
      </c>
      <c r="H6" s="1" t="s">
        <v>74</v>
      </c>
      <c r="I6" s="1" t="s">
        <v>70</v>
      </c>
      <c r="J6" s="1"/>
      <c r="K6" s="1"/>
      <c r="L6" s="1"/>
      <c r="M6" s="1"/>
      <c r="N6" s="1" t="s">
        <v>70</v>
      </c>
      <c r="O6" s="1" t="s">
        <v>81</v>
      </c>
      <c r="P6" s="4">
        <v>46181.491666666669</v>
      </c>
      <c r="Q6" s="4">
        <v>46181.491712962961</v>
      </c>
      <c r="R6" s="8">
        <f>(Q6-P6)</f>
        <v>4.6296292566694319E-5</v>
      </c>
      <c r="S6" s="6">
        <v>120</v>
      </c>
    </row>
    <row r="7" spans="1:19">
      <c r="A7" s="1" t="s">
        <v>19</v>
      </c>
      <c r="B7" s="1" t="s">
        <v>55</v>
      </c>
      <c r="C7" s="1" t="s">
        <v>69</v>
      </c>
      <c r="D7" s="1" t="s">
        <v>85</v>
      </c>
      <c r="E7" s="3"/>
      <c r="F7" s="3"/>
      <c r="G7" s="1" t="s">
        <v>69</v>
      </c>
      <c r="H7" s="1" t="s">
        <v>85</v>
      </c>
      <c r="I7" s="1" t="s">
        <v>26</v>
      </c>
      <c r="J7" s="1"/>
      <c r="K7" s="1"/>
      <c r="L7" s="1"/>
      <c r="M7" s="1"/>
      <c r="N7" s="1" t="s">
        <v>66</v>
      </c>
      <c r="O7" s="1" t="s">
        <v>81</v>
      </c>
      <c r="P7" s="4">
        <v>46181.500694444447</v>
      </c>
      <c r="Q7" s="4">
        <v>46181.50072916667</v>
      </c>
      <c r="R7" s="8">
        <f t="shared" si="0"/>
        <v>3.4722223062999547E-5</v>
      </c>
      <c r="S7" s="6">
        <v>120</v>
      </c>
    </row>
    <row r="8" spans="1:19">
      <c r="A8" s="1" t="s">
        <v>51</v>
      </c>
      <c r="B8" s="1" t="s">
        <v>55</v>
      </c>
      <c r="C8" s="1" t="s">
        <v>69</v>
      </c>
      <c r="D8" s="1" t="s">
        <v>85</v>
      </c>
      <c r="E8" s="3"/>
      <c r="F8" s="3"/>
      <c r="G8" s="1" t="s">
        <v>69</v>
      </c>
      <c r="H8" s="1" t="s">
        <v>85</v>
      </c>
      <c r="I8" s="1" t="s">
        <v>9</v>
      </c>
      <c r="J8" s="1"/>
      <c r="K8" s="1"/>
      <c r="L8" s="1"/>
      <c r="M8" s="1"/>
      <c r="N8" s="1" t="s">
        <v>86</v>
      </c>
      <c r="O8" s="1" t="s">
        <v>81</v>
      </c>
      <c r="P8" s="4">
        <v>46181.501388888886</v>
      </c>
      <c r="Q8" s="4">
        <v>46181.501423611109</v>
      </c>
      <c r="R8" s="8">
        <f t="shared" si="0"/>
        <v>3.4722223062999547E-5</v>
      </c>
      <c r="S8" s="6">
        <v>120</v>
      </c>
    </row>
    <row r="9" spans="1:19">
      <c r="A9" s="1" t="s">
        <v>79</v>
      </c>
      <c r="B9" s="1" t="s">
        <v>55</v>
      </c>
      <c r="C9" s="1" t="s">
        <v>69</v>
      </c>
      <c r="D9" s="1" t="s">
        <v>85</v>
      </c>
      <c r="E9" s="3"/>
      <c r="F9" s="3"/>
      <c r="G9" s="1" t="s">
        <v>69</v>
      </c>
      <c r="H9" s="1" t="s">
        <v>85</v>
      </c>
      <c r="I9" s="1" t="s">
        <v>31</v>
      </c>
      <c r="J9" s="1"/>
      <c r="K9" s="1"/>
      <c r="L9" s="1"/>
      <c r="M9" s="1"/>
      <c r="N9" s="1" t="s">
        <v>23</v>
      </c>
      <c r="O9" s="1" t="s">
        <v>81</v>
      </c>
      <c r="P9" s="4">
        <v>46181.502083333333</v>
      </c>
      <c r="Q9" s="4">
        <v>46181.502106481479</v>
      </c>
      <c r="R9" s="8">
        <f t="shared" si="0"/>
        <v>2.314814628334716E-5</v>
      </c>
      <c r="S9" s="6">
        <v>120</v>
      </c>
    </row>
    <row r="10" spans="1:19">
      <c r="A10" s="1" t="s">
        <v>75</v>
      </c>
      <c r="B10" s="1" t="s">
        <v>55</v>
      </c>
      <c r="C10" s="1" t="s">
        <v>69</v>
      </c>
      <c r="D10" s="1" t="s">
        <v>59</v>
      </c>
      <c r="E10" s="3"/>
      <c r="F10" s="3"/>
      <c r="G10" s="1" t="s">
        <v>69</v>
      </c>
      <c r="H10" s="1" t="s">
        <v>59</v>
      </c>
      <c r="I10" s="1" t="s">
        <v>24</v>
      </c>
      <c r="J10" s="1"/>
      <c r="K10" s="1"/>
      <c r="L10" s="1"/>
      <c r="M10" s="1"/>
      <c r="N10" s="1" t="s">
        <v>25</v>
      </c>
      <c r="O10" s="1" t="s">
        <v>81</v>
      </c>
      <c r="P10" s="4">
        <v>46181.504884259259</v>
      </c>
      <c r="Q10" s="4">
        <v>46181.504942129628</v>
      </c>
      <c r="R10" s="8">
        <f t="shared" si="0"/>
        <v>5.7870369346346706E-5</v>
      </c>
      <c r="S10" s="6">
        <v>120</v>
      </c>
    </row>
    <row r="11" spans="1:19">
      <c r="A11" s="1" t="s">
        <v>10</v>
      </c>
      <c r="B11" s="1" t="s">
        <v>55</v>
      </c>
      <c r="C11" s="1" t="s">
        <v>69</v>
      </c>
      <c r="D11" s="1" t="s">
        <v>59</v>
      </c>
      <c r="E11" s="3"/>
      <c r="F11" s="3"/>
      <c r="G11" s="1" t="s">
        <v>69</v>
      </c>
      <c r="H11" s="1" t="s">
        <v>59</v>
      </c>
      <c r="I11" s="1" t="s">
        <v>63</v>
      </c>
      <c r="J11" s="1"/>
      <c r="K11" s="1"/>
      <c r="L11" s="1"/>
      <c r="M11" s="1"/>
      <c r="N11" s="1" t="s">
        <v>64</v>
      </c>
      <c r="O11" s="1" t="s">
        <v>81</v>
      </c>
      <c r="P11" s="4">
        <v>46181.506249999999</v>
      </c>
      <c r="Q11" s="4">
        <v>46181.506284722222</v>
      </c>
      <c r="R11" s="8">
        <f t="shared" si="0"/>
        <v>3.4722223062999547E-5</v>
      </c>
      <c r="S11" s="6">
        <v>120</v>
      </c>
    </row>
    <row r="12" spans="1:19">
      <c r="A12" s="1" t="s">
        <v>60</v>
      </c>
      <c r="B12" s="1" t="s">
        <v>55</v>
      </c>
      <c r="C12" s="1" t="s">
        <v>69</v>
      </c>
      <c r="D12" s="1" t="s">
        <v>59</v>
      </c>
      <c r="E12" s="3"/>
      <c r="F12" s="3"/>
      <c r="G12" s="1" t="s">
        <v>69</v>
      </c>
      <c r="H12" s="1" t="s">
        <v>59</v>
      </c>
      <c r="I12" s="1" t="s">
        <v>65</v>
      </c>
      <c r="J12" s="1"/>
      <c r="K12" s="1"/>
      <c r="L12" s="1"/>
      <c r="M12" s="1"/>
      <c r="N12" s="1" t="s">
        <v>3</v>
      </c>
      <c r="O12" s="1" t="s">
        <v>81</v>
      </c>
      <c r="P12" s="4">
        <v>46181.506284722222</v>
      </c>
      <c r="Q12" s="4">
        <v>46181.506296296298</v>
      </c>
      <c r="R12" s="8">
        <f t="shared" si="0"/>
        <v>1.1574076779652387E-5</v>
      </c>
      <c r="S12" s="6">
        <v>120</v>
      </c>
    </row>
    <row r="13" spans="1:19">
      <c r="A13" s="1" t="s">
        <v>84</v>
      </c>
      <c r="B13" s="1" t="s">
        <v>55</v>
      </c>
      <c r="C13" s="1" t="s">
        <v>69</v>
      </c>
      <c r="D13" s="1" t="s">
        <v>59</v>
      </c>
      <c r="E13" s="3"/>
      <c r="F13" s="3"/>
      <c r="G13" s="1" t="s">
        <v>69</v>
      </c>
      <c r="H13" s="1" t="s">
        <v>59</v>
      </c>
      <c r="I13" s="1" t="s">
        <v>18</v>
      </c>
      <c r="J13" s="1"/>
      <c r="K13" s="1"/>
      <c r="L13" s="1"/>
      <c r="M13" s="1"/>
      <c r="N13" s="1" t="s">
        <v>62</v>
      </c>
      <c r="O13" s="1" t="s">
        <v>81</v>
      </c>
      <c r="P13" s="4">
        <v>46181.507638888892</v>
      </c>
      <c r="Q13" s="4">
        <v>46181.507662037038</v>
      </c>
      <c r="R13" s="8">
        <f t="shared" si="0"/>
        <v>2.314814628334716E-5</v>
      </c>
      <c r="S13" s="6">
        <v>120</v>
      </c>
    </row>
    <row r="14" spans="1:19">
      <c r="A14" s="1" t="s">
        <v>71</v>
      </c>
      <c r="B14" s="1" t="s">
        <v>55</v>
      </c>
      <c r="C14" s="1" t="s">
        <v>69</v>
      </c>
      <c r="D14" s="1" t="s">
        <v>59</v>
      </c>
      <c r="E14" s="3"/>
      <c r="F14" s="3"/>
      <c r="G14" s="1" t="s">
        <v>69</v>
      </c>
      <c r="H14" s="1" t="s">
        <v>59</v>
      </c>
      <c r="I14" s="1" t="s">
        <v>67</v>
      </c>
      <c r="J14" s="1"/>
      <c r="K14" s="1"/>
      <c r="L14" s="1"/>
      <c r="M14" s="1"/>
      <c r="N14" s="1" t="s">
        <v>68</v>
      </c>
      <c r="O14" s="1" t="s">
        <v>81</v>
      </c>
      <c r="P14" s="4">
        <v>46181.508356481485</v>
      </c>
      <c r="Q14" s="4">
        <v>46181.508379629631</v>
      </c>
      <c r="R14" s="8">
        <f t="shared" si="0"/>
        <v>2.314814628334716E-5</v>
      </c>
      <c r="S14" s="6">
        <v>120</v>
      </c>
    </row>
    <row r="15" spans="1:19">
      <c r="A15" s="1" t="s">
        <v>6</v>
      </c>
      <c r="B15" s="1" t="s">
        <v>55</v>
      </c>
      <c r="C15" s="1" t="s">
        <v>50</v>
      </c>
      <c r="D15" s="3"/>
      <c r="E15" s="3"/>
      <c r="F15" s="3"/>
      <c r="G15" s="1" t="s">
        <v>50</v>
      </c>
      <c r="H15" s="1" t="s">
        <v>41</v>
      </c>
      <c r="I15" s="1"/>
      <c r="J15" s="1"/>
      <c r="K15" s="1"/>
      <c r="L15" s="1"/>
      <c r="M15" s="1"/>
      <c r="N15" s="1" t="s">
        <v>42</v>
      </c>
      <c r="O15" s="1" t="s">
        <v>81</v>
      </c>
      <c r="P15" s="4">
        <v>46181.509074074071</v>
      </c>
      <c r="Q15" s="4">
        <v>46181.509097222224</v>
      </c>
      <c r="R15" s="8">
        <f t="shared" si="0"/>
        <v>2.3148153559304774E-5</v>
      </c>
      <c r="S15" s="6">
        <v>120</v>
      </c>
    </row>
    <row r="16" spans="1:19">
      <c r="A16" s="1" t="s">
        <v>80</v>
      </c>
      <c r="B16" s="1" t="s">
        <v>55</v>
      </c>
      <c r="C16" s="1" t="s">
        <v>50</v>
      </c>
      <c r="D16" s="3"/>
      <c r="E16" s="3"/>
      <c r="F16" s="3"/>
      <c r="G16" s="1" t="s">
        <v>50</v>
      </c>
      <c r="H16" s="1" t="s">
        <v>89</v>
      </c>
      <c r="I16" s="1"/>
      <c r="J16" s="1"/>
      <c r="K16" s="1"/>
      <c r="L16" s="1"/>
      <c r="M16" s="1"/>
      <c r="N16" s="1" t="s">
        <v>43</v>
      </c>
      <c r="O16" s="1" t="s">
        <v>81</v>
      </c>
      <c r="P16" s="4">
        <v>46181.509791666664</v>
      </c>
      <c r="Q16" s="4">
        <v>46181.509814814817</v>
      </c>
      <c r="R16" s="8">
        <f t="shared" si="0"/>
        <v>2.3148153559304774E-5</v>
      </c>
      <c r="S16" s="6">
        <v>120</v>
      </c>
    </row>
    <row r="17" spans="1:19" ht="14" customHeight="1">
      <c r="A17" s="1" t="s">
        <v>37</v>
      </c>
      <c r="B17" s="1" t="s">
        <v>55</v>
      </c>
      <c r="C17" s="1" t="s">
        <v>50</v>
      </c>
      <c r="D17" s="3"/>
      <c r="E17" s="3"/>
      <c r="F17" s="3"/>
      <c r="G17" s="1" t="s">
        <v>50</v>
      </c>
      <c r="H17" s="1" t="s">
        <v>16</v>
      </c>
      <c r="I17" s="1"/>
      <c r="J17" s="1"/>
      <c r="K17" s="1"/>
      <c r="L17" s="1"/>
      <c r="M17" s="1"/>
      <c r="N17" s="1" t="s">
        <v>57</v>
      </c>
      <c r="O17" s="1" t="s">
        <v>81</v>
      </c>
      <c r="P17" s="4">
        <v>46181.510509259257</v>
      </c>
      <c r="Q17" s="4">
        <v>46181.51053240741</v>
      </c>
      <c r="R17" s="8">
        <f t="shared" si="0"/>
        <v>2.3148153559304774E-5</v>
      </c>
      <c r="S17" s="6">
        <v>120</v>
      </c>
    </row>
    <row r="18" spans="1:19">
      <c r="A18" s="1" t="s">
        <v>2</v>
      </c>
      <c r="B18" s="1" t="s">
        <v>55</v>
      </c>
      <c r="C18" s="1" t="s">
        <v>50</v>
      </c>
      <c r="D18" s="3"/>
      <c r="E18" s="3"/>
      <c r="F18" s="3"/>
      <c r="G18" s="1" t="s">
        <v>50</v>
      </c>
      <c r="H18" s="1" t="s">
        <v>17</v>
      </c>
      <c r="I18" s="1"/>
      <c r="J18" s="1"/>
      <c r="K18" s="1"/>
      <c r="L18" s="1"/>
      <c r="M18" s="1"/>
      <c r="N18" s="1" t="s">
        <v>58</v>
      </c>
      <c r="O18" s="1" t="s">
        <v>81</v>
      </c>
      <c r="P18" s="4">
        <v>46181.511921296296</v>
      </c>
      <c r="Q18" s="4">
        <v>46181.51221064815</v>
      </c>
      <c r="R18" s="8">
        <f t="shared" si="0"/>
        <v>2.8935185400769114E-4</v>
      </c>
      <c r="S18" s="6">
        <v>120</v>
      </c>
    </row>
    <row r="19" spans="1:19">
      <c r="A19" s="1" t="s">
        <v>90</v>
      </c>
      <c r="B19" s="1" t="s">
        <v>30</v>
      </c>
      <c r="C19" s="1" t="s">
        <v>5</v>
      </c>
      <c r="D19" s="3"/>
      <c r="E19" s="3"/>
      <c r="F19" s="3"/>
      <c r="G19" s="1" t="s">
        <v>5</v>
      </c>
      <c r="H19" s="1" t="s">
        <v>29</v>
      </c>
      <c r="I19" s="1"/>
      <c r="J19" s="1"/>
      <c r="K19" s="1"/>
      <c r="L19" s="1"/>
      <c r="M19" s="1"/>
      <c r="N19" s="1"/>
      <c r="O19" s="5">
        <v>319958173</v>
      </c>
      <c r="P19" s="4">
        <v>46181.51290509259</v>
      </c>
      <c r="Q19" s="4">
        <v>46181.512939814813</v>
      </c>
      <c r="R19" s="8">
        <f t="shared" si="0"/>
        <v>3.4722223062999547E-5</v>
      </c>
      <c r="S19" s="6">
        <v>30</v>
      </c>
    </row>
    <row r="20" spans="1:19">
      <c r="A20" s="1" t="s">
        <v>91</v>
      </c>
      <c r="B20" s="1" t="s">
        <v>40</v>
      </c>
      <c r="C20" s="1" t="s">
        <v>5</v>
      </c>
      <c r="D20" s="3"/>
      <c r="E20" s="3"/>
      <c r="F20" s="3"/>
      <c r="G20" s="1" t="s">
        <v>5</v>
      </c>
      <c r="H20" s="1" t="s">
        <v>11</v>
      </c>
      <c r="I20" s="1"/>
      <c r="J20" s="1"/>
      <c r="K20" s="1"/>
      <c r="L20" s="1"/>
      <c r="M20" s="1"/>
      <c r="N20" s="1"/>
      <c r="O20" s="5">
        <v>49956173</v>
      </c>
      <c r="P20" s="4">
        <v>46181.513888888891</v>
      </c>
      <c r="Q20" s="4">
        <v>46181.514270833337</v>
      </c>
      <c r="R20" s="8">
        <f t="shared" si="0"/>
        <v>3.819444464170374E-4</v>
      </c>
      <c r="S20" s="6">
        <v>30</v>
      </c>
    </row>
    <row r="21" spans="1:19">
      <c r="A21" s="1" t="s">
        <v>27</v>
      </c>
      <c r="B21" s="1" t="s">
        <v>55</v>
      </c>
      <c r="C21" s="1" t="s">
        <v>45</v>
      </c>
      <c r="D21" s="3"/>
      <c r="E21" s="3"/>
      <c r="F21" s="3"/>
      <c r="G21" s="1" t="s">
        <v>45</v>
      </c>
      <c r="H21" s="1" t="s">
        <v>76</v>
      </c>
      <c r="I21" s="1"/>
      <c r="J21" s="1"/>
      <c r="K21" s="1"/>
      <c r="L21" s="1"/>
      <c r="M21" s="1"/>
      <c r="N21" s="1" t="s">
        <v>46</v>
      </c>
      <c r="O21" s="1" t="s">
        <v>81</v>
      </c>
      <c r="P21" s="4">
        <v>46181.514270833337</v>
      </c>
      <c r="Q21" s="4">
        <v>46181.514293981483</v>
      </c>
      <c r="R21" s="8">
        <f t="shared" si="0"/>
        <v>2.314814628334716E-5</v>
      </c>
      <c r="S21" s="6">
        <v>120</v>
      </c>
    </row>
    <row r="22" spans="1:19">
      <c r="A22" s="1" t="s">
        <v>39</v>
      </c>
      <c r="B22" s="1" t="s">
        <v>55</v>
      </c>
      <c r="C22" s="1" t="s">
        <v>4</v>
      </c>
      <c r="D22" s="3"/>
      <c r="E22" s="3"/>
      <c r="F22" s="3"/>
      <c r="G22" s="1" t="s">
        <v>4</v>
      </c>
      <c r="H22" s="1" t="s">
        <v>20</v>
      </c>
      <c r="I22" s="1"/>
      <c r="J22" s="1"/>
      <c r="K22" s="1"/>
      <c r="L22" s="1"/>
      <c r="M22" s="1"/>
      <c r="N22" s="1" t="s">
        <v>47</v>
      </c>
      <c r="O22" s="1" t="s">
        <v>81</v>
      </c>
      <c r="P22" s="4">
        <v>46181.514293981483</v>
      </c>
      <c r="Q22" s="4">
        <v>46181.514351851853</v>
      </c>
      <c r="R22" s="8">
        <f t="shared" si="0"/>
        <v>5.7870369346346706E-5</v>
      </c>
      <c r="S22" s="6">
        <v>120</v>
      </c>
    </row>
    <row r="23" spans="1:19">
      <c r="A23" s="1" t="s">
        <v>28</v>
      </c>
      <c r="B23" s="1" t="s">
        <v>87</v>
      </c>
      <c r="C23" s="1" t="s">
        <v>38</v>
      </c>
      <c r="D23" s="3"/>
      <c r="E23" s="3"/>
      <c r="F23" s="3"/>
      <c r="G23" s="1" t="s">
        <v>38</v>
      </c>
      <c r="H23" s="1" t="s">
        <v>28</v>
      </c>
      <c r="I23" s="1"/>
      <c r="J23" s="1"/>
      <c r="K23" s="1"/>
      <c r="L23" s="1"/>
      <c r="M23" s="1"/>
      <c r="N23" s="1"/>
      <c r="O23" s="1" t="s">
        <v>81</v>
      </c>
      <c r="P23" s="4">
        <v>46181.518518518518</v>
      </c>
      <c r="Q23" s="4">
        <v>46181.518530092595</v>
      </c>
      <c r="R23" s="8">
        <f t="shared" si="0"/>
        <v>1.1574076779652387E-5</v>
      </c>
      <c r="S23" s="6">
        <v>30</v>
      </c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55E45EFA7D46448DC071D5E3D957A9" ma:contentTypeVersion="15" ma:contentTypeDescription="Create a new document." ma:contentTypeScope="" ma:versionID="d170d60c39c931e1c16c015bb6b801cc">
  <xsd:schema xmlns:xsd="http://www.w3.org/2001/XMLSchema" xmlns:xs="http://www.w3.org/2001/XMLSchema" xmlns:p="http://schemas.microsoft.com/office/2006/metadata/properties" xmlns:ns2="a106bf77-59b7-4a88-b27d-ccf5a24c57b5" xmlns:ns3="377fc769-8cb8-4bde-9ae2-0e4c98f84ff3" targetNamespace="http://schemas.microsoft.com/office/2006/metadata/properties" ma:root="true" ma:fieldsID="0bcdfdd591c10cb2acb2da27e8f5346b" ns2:_="" ns3:_="">
    <xsd:import namespace="a106bf77-59b7-4a88-b27d-ccf5a24c57b5"/>
    <xsd:import namespace="377fc769-8cb8-4bde-9ae2-0e4c98f84f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06bf77-59b7-4a88-b27d-ccf5a24c57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fc769-8cb8-4bde-9ae2-0e4c98f84ff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babc5be-40a4-4343-a069-45c24187f4fa}" ma:internalName="TaxCatchAll" ma:showField="CatchAllData" ma:web="377fc769-8cb8-4bde-9ae2-0e4c98f84f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06bf77-59b7-4a88-b27d-ccf5a24c57b5">
      <Terms xmlns="http://schemas.microsoft.com/office/infopath/2007/PartnerControls"/>
    </lcf76f155ced4ddcb4097134ff3c332f>
    <TaxCatchAll xmlns="377fc769-8cb8-4bde-9ae2-0e4c98f84ff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442262-2390-431F-AA0F-5A61C2004D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06bf77-59b7-4a88-b27d-ccf5a24c57b5"/>
    <ds:schemaRef ds:uri="377fc769-8cb8-4bde-9ae2-0e4c98f84f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4CA71D-05B2-46B6-8BF4-91640FCACF8F}">
  <ds:schemaRefs>
    <ds:schemaRef ds:uri="http://schemas.microsoft.com/office/2006/metadata/properties"/>
    <ds:schemaRef ds:uri="http://schemas.microsoft.com/office/infopath/2007/PartnerControls"/>
    <ds:schemaRef ds:uri="a106bf77-59b7-4a88-b27d-ccf5a24c57b5"/>
    <ds:schemaRef ds:uri="377fc769-8cb8-4bde-9ae2-0e4c98f84ff3"/>
  </ds:schemaRefs>
</ds:datastoreItem>
</file>

<file path=customXml/itemProps3.xml><?xml version="1.0" encoding="utf-8"?>
<ds:datastoreItem xmlns:ds="http://schemas.openxmlformats.org/officeDocument/2006/customXml" ds:itemID="{A5C42298-D952-4A31-9DD4-358C0B80632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Alkanti, Kiran Kumar</cp:lastModifiedBy>
  <dcterms:modified xsi:type="dcterms:W3CDTF">2026-07-10T22:20:58Z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0x010100B055E45EFA7D46448DC071D5E3D957A9</vt:lpwstr>
  </property>
</Properties>
</file>